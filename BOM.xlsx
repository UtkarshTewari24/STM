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7b9b8a9bd45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527364971c9845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b/>
      <x:sz val="15"/>
      <x:color rgb="FF1F1F1F"/>
      <x:name val="Arial"/>
    </x:font>
    <x:font>
      <x:i/>
      <x:sz val="10"/>
      <x:color rgb="FF555555"/>
      <x:name val="Arial"/>
    </x:font>
    <x:font>
      <x:b/>
      <x:sz val="10"/>
      <x:color rgb="FFFFFFFF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7">
    <x:border/>
    <x:border>
      <x:left style="thin">
        <x:color rgb="FF9FBAD0"/>
      </x:left>
      <x:top style="thin">
        <x:color rgb="FF9FBAD0"/>
      </x:top>
    </x:border>
    <x:border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</x:border>
    <x:border>
      <x:right style="thin">
        <x:color rgb="FF9FBAD0"/>
      </x:right>
    </x:border>
    <x:border>
      <x:left style="thin">
        <x:color rgb="FF9FBAD0"/>
      </x:left>
      <x:bottom style="thin">
        <x:color rgb="FF9FBAD0"/>
      </x:bottom>
    </x:border>
    <x:border>
      <x:bottom style="thin">
        <x:color rgb="FF9FBAD0"/>
      </x:bottom>
    </x:border>
    <x:border>
      <x:right style="thin">
        <x:color rgb="FF9FBAD0"/>
      </x:right>
      <x:bottom style="thin">
        <x:color rgb="FF9FBAD0"/>
      </x:bottom>
    </x:border>
    <x:border>
      <x:left style="thin">
        <x:color rgb="FFC9B458"/>
      </x:left>
      <x:top style="thin">
        <x:color rgb="FFC9B458"/>
      </x:top>
    </x:border>
    <x:border>
      <x:top style="thin">
        <x:color rgb="FFC9B458"/>
      </x:top>
    </x:border>
    <x:border>
      <x:right style="thin">
        <x:color rgb="FFC9B458"/>
      </x:right>
      <x:top style="thin">
        <x:color rgb="FFC9B458"/>
      </x:top>
    </x:border>
    <x:border>
      <x:left style="thin">
        <x:color rgb="FFC9B458"/>
      </x:left>
    </x:border>
    <x:border>
      <x:right style="thin">
        <x:color rgb="FFC9B458"/>
      </x:right>
    </x:border>
    <x:border>
      <x:left style="thin">
        <x:color rgb="FFC9B458"/>
      </x:left>
      <x:bottom style="thin">
        <x:color rgb="FFC9B458"/>
      </x:bottom>
    </x:border>
    <x:border>
      <x:bottom style="thin">
        <x:color rgb="FFC9B458"/>
      </x:bottom>
    </x:border>
    <x:border>
      <x:right style="thin">
        <x:color rgb="FFC9B458"/>
      </x:right>
      <x:bottom style="thin">
        <x:color rgb="FFC9B458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20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5" fillId="3" borderId="9" xfId="0" applyNumberFormat="1" applyFont="1" applyFill="1" applyBorder="1" applyAlignment="1">
      <x:alignment vertical="center"/>
    </x:xf>
    <x:xf numFmtId="0" fontId="5" fillId="3" borderId="10" xfId="0" applyNumberFormat="1" applyFont="1" applyFill="1" applyBorder="1" applyAlignment="1">
      <x:alignment vertical="center"/>
    </x:xf>
    <x:xf numFmtId="200" fontId="5" fillId="3" borderId="10" xfId="0" applyNumberFormat="1" applyFont="1" applyFill="1" applyBorder="1" applyAlignment="1">
      <x:alignment vertical="center"/>
    </x:xf>
    <x:xf numFmtId="0" fontId="5" fillId="3" borderId="11" xfId="0" applyNumberFormat="1" applyFont="1" applyFill="1" applyBorder="1" applyAlignment="1">
      <x:alignment vertical="center"/>
    </x:xf>
    <x:xf numFmtId="0" fontId="5" fillId="3" borderId="12" xfId="0" applyNumberFormat="1" applyFont="1" applyFill="1" applyBorder="1" applyAlignment="1">
      <x:alignment vertical="center"/>
    </x:xf>
    <x:xf numFmtId="0" fontId="5" fillId="3" borderId="13" xfId="0" applyNumberFormat="1" applyFont="1" applyFill="1" applyBorder="1" applyAlignment="1">
      <x:alignment vertical="center"/>
    </x:xf>
    <x:xf numFmtId="0" fontId="5" fillId="3" borderId="14" xfId="0" applyNumberFormat="1" applyFont="1" applyFill="1" applyBorder="1" applyAlignment="1">
      <x:alignment vertical="center"/>
    </x:xf>
    <x:xf numFmtId="0" fontId="5" fillId="3" borderId="15" xfId="0" applyNumberFormat="1" applyFont="1" applyFill="1" applyBorder="1" applyAlignment="1">
      <x:alignment vertical="center"/>
    </x:xf>
    <x:xf numFmtId="200" fontId="5" fillId="3" borderId="15" xfId="0" applyNumberFormat="1" applyFont="1" applyFill="1" applyBorder="1" applyAlignment="1">
      <x:alignment vertical="center"/>
    </x:xf>
    <x:xf numFmtId="0" fontId="5" fillId="3" borderId="1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31d93ac8e04b9c" /><Relationship Type="http://schemas.openxmlformats.org/officeDocument/2006/relationships/theme" Target="/xl/theme/theme1.xml" Id="Rff2e315cf7ff46bf" /><Relationship Type="http://schemas.openxmlformats.org/officeDocument/2006/relationships/sharedStrings" Target="/xl/sharedStrings.xml" Id="R1cdc079f3b154ac7" /><Relationship Type="http://schemas.openxmlformats.org/officeDocument/2006/relationships/worksheet" Target="/xl/worksheets/sheet1.xml" Id="R527364971c9845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18" hidden="0" customWidth="1"/>
    <x:col min="3" max="3" width="34" hidden="0" customWidth="1"/>
    <x:col min="4" max="4" width="13" hidden="0" customWidth="1"/>
    <x:col min="5" max="5" width="16" hidden="0" customWidth="1"/>
    <x:col min="6" max="6" width="11" hidden="0" customWidth="1"/>
    <x:col min="7" max="7" width="11" hidden="0" customWidth="1"/>
    <x:col min="8" max="8" width="48" hidden="0" customWidth="1"/>
    <x:col min="9" max="9" width="34" hidden="0" customWidth="1"/>
  </x:cols>
  <x:sheetData>
    <x:row r="1">
      <x:c r="A1" s="1" t="str">
        <x:v>STM BOM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All parts for the build. I am asking Stardance for $600 and will pay the rest.</x:v>
      </x:c>
      <x:c r="B2" s="2"/>
      <x:c r="C2" s="2"/>
      <x:c r="D2" s="2"/>
      <x:c r="E2" s="2"/>
      <x:c r="F2" s="2"/>
      <x:c r="G2" s="2"/>
      <x:c r="H2" s="2"/>
      <x:c r="I2" s="2"/>
    </x:row>
    <x:row r="4" ht="24" customHeight="1">
      <x:c r="A4" s="13" t="str">
        <x:v>#</x:v>
      </x:c>
      <x:c r="B4" s="14" t="str">
        <x:v>Section</x:v>
      </x:c>
      <x:c r="C4" s="14" t="str">
        <x:v>Part</x:v>
      </x:c>
      <x:c r="D4" s="14" t="str">
        <x:v>Qty</x:v>
      </x:c>
      <x:c r="E4" s="14" t="str">
        <x:v>Supplier</x:v>
      </x:c>
      <x:c r="F4" s="14" t="str">
        <x:v>Unit $</x:v>
      </x:c>
      <x:c r="G4" s="14" t="str">
        <x:v>Total $</x:v>
      </x:c>
      <x:c r="H4" s="14" t="str">
        <x:v>Purchase link</x:v>
      </x:c>
      <x:c r="I4" s="15" t="str">
        <x:v>Why</x:v>
      </x:c>
    </x:row>
    <x:row r="5" ht="15" hidden="0" customHeight="1">
      <x:c r="A5" s="16" t="n">
        <x:v>1</x:v>
      </x:c>
      <x:c r="B5" s="10" t="str">
        <x:v>Controller</x:v>
      </x:c>
      <x:c r="C5" s="10" t="str">
        <x:v>Espressif ESP32 Development Board</x:v>
      </x:c>
      <x:c r="D5" s="10" t="n">
        <x:v>1</x:v>
      </x:c>
      <x:c r="E5" s="10" t="str">
        <x:v>Adafruit</x:v>
      </x:c>
      <x:c r="F5" s="11" t="n">
        <x:v>15</x:v>
      </x:c>
      <x:c r="G5" s="11" t="n">
        <x:v>15</x:v>
      </x:c>
      <x:c r="H5" s="10" t="str">
        <x:v>https://www.adafruit.com/product/3269</x:v>
      </x:c>
      <x:c r="I5" s="17" t="str">
        <x:v>Runs the controller firmware and feedback loop</x:v>
      </x:c>
    </x:row>
    <x:row r="6" ht="24" hidden="0" customHeight="1">
      <x:c r="A6" s="16" t="n">
        <x:v>2</x:v>
      </x:c>
      <x:c r="B6" s="10" t="str">
        <x:v>Controller</x:v>
      </x:c>
      <x:c r="C6" s="10" t="str">
        <x:v>DAC 2 Click (LTC2601 16-bit) MIKROE-1918</x:v>
      </x:c>
      <x:c r="D6" s="10" t="n">
        <x:v>3</x:v>
      </x:c>
      <x:c r="E6" s="10" t="str">
        <x:v>Allelco</x:v>
      </x:c>
      <x:c r="F6" s="11" t="n">
        <x:v>19</x:v>
      </x:c>
      <x:c r="G6" s="11" t="n">
        <x:v>57</x:v>
      </x:c>
      <x:c r="H6" s="10" t="str">
        <x:v>https://www.allelcoelec.com/productdetails/MikroElektronika/MIKROE-1918.html</x:v>
      </x:c>
      <x:c r="I6" s="17" t="str">
        <x:v>Provides the three analog control channels for the piezo scanner</x:v>
      </x:c>
    </x:row>
    <x:row r="7" ht="15" hidden="0" customHeight="1">
      <x:c r="A7" s="16" t="n">
        <x:v>3</x:v>
      </x:c>
      <x:c r="B7" s="10" t="str">
        <x:v>Controller</x:v>
      </x:c>
      <x:c r="C7" s="10" t="str">
        <x:v>ADC 8 Click (ADS1115 16-bit) MIKROE-3394</x:v>
      </x:c>
      <x:c r="D7" s="10" t="n">
        <x:v>1</x:v>
      </x:c>
      <x:c r="E7" s="10" t="str">
        <x:v>Mouser</x:v>
      </x:c>
      <x:c r="F7" s="11" t="n">
        <x:v>25</x:v>
      </x:c>
      <x:c r="G7" s="11" t="n">
        <x:v>25</x:v>
      </x:c>
      <x:c r="H7" s="10" t="str">
        <x:v>https://www.mouser.com/ProductDetail/Mikroe/MIKROE-3394</x:v>
      </x:c>
      <x:c r="I7" s="17" t="str">
        <x:v>Reads the tunneling-amplifier output</x:v>
      </x:c>
    </x:row>
    <x:row r="8" ht="24" hidden="0" customHeight="1">
      <x:c r="A8" s="16" t="n">
        <x:v>4</x:v>
      </x:c>
      <x:c r="B8" s="10" t="str">
        <x:v>Controller</x:v>
      </x:c>
      <x:c r="C8" s="10" t="str">
        <x:v>TL072 op-amp</x:v>
      </x:c>
      <x:c r="D8" s="10" t="n">
        <x:v>2</x:v>
      </x:c>
      <x:c r="E8" s="10" t="str">
        <x:v>DigiKey</x:v>
      </x:c>
      <x:c r="F8" s="11" t="n">
        <x:v>1.5</x:v>
      </x:c>
      <x:c r="G8" s="11" t="n">
        <x:v>3</x:v>
      </x:c>
      <x:c r="H8" s="10" t="str">
        <x:v>https://www.digikey.com/en/products/detail/texas-instruments/TL072ACDR/562849</x:v>
      </x:c>
      <x:c r="I8" s="17" t="str">
        <x:v>Conditions the controller signals</x:v>
      </x:c>
    </x:row>
    <x:row r="9" ht="15" hidden="0" customHeight="1">
      <x:c r="A9" s="16" t="n">
        <x:v>5</x:v>
      </x:c>
      <x:c r="B9" s="10" t="str">
        <x:v>Controller</x:v>
      </x:c>
      <x:c r="C9" s="10" t="str">
        <x:v>PL2303TA USB-TTL converter</x:v>
      </x:c>
      <x:c r="D9" s="10" t="n">
        <x:v>1</x:v>
      </x:c>
      <x:c r="E9" s="10" t="str">
        <x:v>ElectroPeak</x:v>
      </x:c>
      <x:c r="F9" s="11" t="n">
        <x:v>1.05</x:v>
      </x:c>
      <x:c r="G9" s="11" t="n">
        <x:v>1.05</x:v>
      </x:c>
      <x:c r="H9" s="10" t="str">
        <x:v>https://electropeak.com/pl2303ta-usb-to-ttl-cable</x:v>
      </x:c>
      <x:c r="I9" s="17" t="str">
        <x:v>Provides the serial data link</x:v>
      </x:c>
    </x:row>
    <x:row r="10" ht="15" hidden="0" customHeight="1">
      <x:c r="A10" s="16" t="n">
        <x:v>6</x:v>
      </x:c>
      <x:c r="B10" s="10" t="str">
        <x:v>Controller</x:v>
      </x:c>
      <x:c r="C10" s="10" t="str">
        <x:v>USB-A to Micro-B cable 3 ft</x:v>
      </x:c>
      <x:c r="D10" s="10" t="n">
        <x:v>1</x:v>
      </x:c>
      <x:c r="E10" s="10" t="str">
        <x:v>Adafruit</x:v>
      </x:c>
      <x:c r="F10" s="11" t="n">
        <x:v>2.95</x:v>
      </x:c>
      <x:c r="G10" s="11" t="n">
        <x:v>2.95</x:v>
      </x:c>
      <x:c r="H10" s="10" t="str">
        <x:v>https://www.adafruit.com/product/592</x:v>
      </x:c>
      <x:c r="I10" s="17" t="str">
        <x:v>Flashes the ESP32</x:v>
      </x:c>
    </x:row>
    <x:row r="11" ht="36" hidden="0" customHeight="1">
      <x:c r="A11" s="16" t="n">
        <x:v>7</x:v>
      </x:c>
      <x:c r="B11" s="10" t="str">
        <x:v>Controller</x:v>
      </x:c>
      <x:c r="C11" s="10" t="str">
        <x:v>2.54 mm terminals plus male and female pin headers</x:v>
      </x:c>
      <x:c r="D11" s="10" t="n">
        <x:v>1</x:v>
      </x:c>
      <x:c r="E11" s="10" t="str">
        <x:v>SparkFun + Amazon</x:v>
      </x:c>
      <x:c r="F11" s="11" t="n">
        <x:v>6</x:v>
      </x:c>
      <x:c r="G11" s="11" t="n">
        <x:v>6</x:v>
      </x:c>
      <x:c r="H11" s="10" t="str">
        <x:v>https://www.sparkfun.com/products/116 | https://www.sparkfun.com/products/115 | https://www.amazon.com/dp/B08XWCN43C</x:v>
      </x:c>
      <x:c r="I11" s="17" t="str">
        <x:v>Makes the ESP32 and Click boards replaceable</x:v>
      </x:c>
    </x:row>
    <x:row r="12" ht="36" hidden="0" customHeight="1">
      <x:c r="A12" s="16" t="n">
        <x:v>8</x:v>
      </x:c>
      <x:c r="B12" s="10" t="str">
        <x:v>Controller</x:v>
      </x:c>
      <x:c r="C12" s="10" t="str">
        <x:v>Resistor set: 3k3 / 220 / 1k6</x:v>
      </x:c>
      <x:c r="D12" s="10" t="n">
        <x:v>1</x:v>
      </x:c>
      <x:c r="E12" s="10" t="str">
        <x:v>Walmart</x:v>
      </x:c>
      <x:c r="F12" s="11" t="n">
        <x:v>10</x:v>
      </x:c>
      <x:c r="G12" s="11" t="n">
        <x:v>10</x:v>
      </x:c>
      <x:c r="H12" s="10" t="str">
        <x:v>https://www.walmart.ca/en/ip/156-Values-Resistor-Kit-Stable-Pulse-Loading-Lightweight-Carbon-Film-Resistor-Assortment-Low-Noise-Wear-Resistance-1-4W-For-Electronic-Equipment/2J57CO3UC5OZ</x:v>
      </x:c>
      <x:c r="I12" s="17" t="str">
        <x:v>Provides the controller-board resistor values</x:v>
      </x:c>
    </x:row>
    <x:row r="13" ht="24" hidden="0" customHeight="1">
      <x:c r="A13" s="16" t="n">
        <x:v>9</x:v>
      </x:c>
      <x:c r="B13" s="10" t="str">
        <x:v>Controller</x:v>
      </x:c>
      <x:c r="C13" s="10" t="str">
        <x:v>Capacitor set: 4n7F and 100nF</x:v>
      </x:c>
      <x:c r="D13" s="10" t="n">
        <x:v>1</x:v>
      </x:c>
      <x:c r="E13" s="10" t="str">
        <x:v>Kurd Electronics</x:v>
      </x:c>
      <x:c r="F13" s="11" t="n">
        <x:v>7.7</x:v>
      </x:c>
      <x:c r="G13" s="11" t="n">
        <x:v>7.7</x:v>
      </x:c>
      <x:c r="H13" s="10" t="str">
        <x:v>https://kurdelectronic.com/product/960pcs-2pf-100nf-ceramic-capacitor-kit/</x:v>
      </x:c>
      <x:c r="I13" s="17" t="str">
        <x:v>Provides the controller-board capacitor values</x:v>
      </x:c>
    </x:row>
    <x:row r="14" ht="15" hidden="0" customHeight="1">
      <x:c r="A14" s="16" t="n">
        <x:v>10</x:v>
      </x:c>
      <x:c r="B14" s="10" t="str">
        <x:v>Controller</x:v>
      </x:c>
      <x:c r="C14" s="10" t="str">
        <x:v>1N5819 diode</x:v>
      </x:c>
      <x:c r="D14" s="10" t="n">
        <x:v>2</x:v>
      </x:c>
      <x:c r="E14" s="10" t="str">
        <x:v>DigiKey</x:v>
      </x:c>
      <x:c r="F14" s="11" t="n">
        <x:v>1.5</x:v>
      </x:c>
      <x:c r="G14" s="11" t="n">
        <x:v>3</x:v>
      </x:c>
      <x:c r="H14" s="10" t="str">
        <x:v>https://www.digikey.com/en/products/detail/onsemi/1N5819RLG/917656</x:v>
      </x:c>
      <x:c r="I14" s="17" t="str">
        <x:v>Provides reverse-polarity protection</x:v>
      </x:c>
    </x:row>
    <x:row r="15" ht="15" hidden="0" customHeight="1">
      <x:c r="A15" s="16" t="n">
        <x:v>11</x:v>
      </x:c>
      <x:c r="B15" s="10" t="str">
        <x:v>Controller</x:v>
      </x:c>
      <x:c r="C15" s="10" t="str">
        <x:v>5 mm LED indicator pack</x:v>
      </x:c>
      <x:c r="D15" s="10" t="n">
        <x:v>1</x:v>
      </x:c>
      <x:c r="E15" s="10" t="str">
        <x:v>Adafruit</x:v>
      </x:c>
      <x:c r="F15" s="11" t="n">
        <x:v>4.95</x:v>
      </x:c>
      <x:c r="G15" s="11" t="n">
        <x:v>4.95</x:v>
      </x:c>
      <x:c r="H15" s="10" t="str">
        <x:v>https://www.adafruit.com/product/4203</x:v>
      </x:c>
      <x:c r="I15" s="17" t="str">
        <x:v>Shows board status</x:v>
      </x:c>
    </x:row>
    <x:row r="16" ht="15" hidden="0" customHeight="1">
      <x:c r="A16" s="16" t="n">
        <x:v>12</x:v>
      </x:c>
      <x:c r="B16" s="10" t="str">
        <x:v>Controller</x:v>
      </x:c>
      <x:c r="C16" s="10" t="str">
        <x:v>Female-to-male jumper-wire pack</x:v>
      </x:c>
      <x:c r="D16" s="10" t="n">
        <x:v>1</x:v>
      </x:c>
      <x:c r="E16" s="10" t="str">
        <x:v>Adafruit</x:v>
      </x:c>
      <x:c r="F16" s="11" t="n">
        <x:v>3.95</x:v>
      </x:c>
      <x:c r="G16" s="11" t="n">
        <x:v>3.95</x:v>
      </x:c>
      <x:c r="H16" s="10" t="str">
        <x:v>https://www.adafruit.com/product/826</x:v>
      </x:c>
      <x:c r="I16" s="17" t="str">
        <x:v>Connects boards during assembly and testing</x:v>
      </x:c>
    </x:row>
    <x:row r="17" ht="24" hidden="0" customHeight="1">
      <x:c r="A17" s="16" t="n">
        <x:v>13</x:v>
      </x:c>
      <x:c r="B17" s="10" t="str">
        <x:v>Tunneling amplifier</x:v>
      </x:c>
      <x:c r="C17" s="10" t="str">
        <x:v>ADA4637-1ARZ op-amp</x:v>
      </x:c>
      <x:c r="D17" s="10" t="n">
        <x:v>2</x:v>
      </x:c>
      <x:c r="E17" s="10" t="str">
        <x:v>Mouser</x:v>
      </x:c>
      <x:c r="F17" s="11" t="n">
        <x:v>10.91</x:v>
      </x:c>
      <x:c r="G17" s="11" t="n">
        <x:v>21.82</x:v>
      </x:c>
      <x:c r="H17" s="10" t="str">
        <x:v>https://www.mouser.com/ProductDetail/Analog-Devices/ADA4637-1ARZ</x:v>
      </x:c>
      <x:c r="I17" s="17" t="str">
        <x:v>Converts tunneling current into a measurable voltage; includes one spare</x:v>
      </x:c>
    </x:row>
    <x:row r="18" ht="24" hidden="0" customHeight="1">
      <x:c r="A18" s="16" t="n">
        <x:v>14</x:v>
      </x:c>
      <x:c r="B18" s="10" t="str">
        <x:v>Tunneling amplifier</x:v>
      </x:c>
      <x:c r="C18" s="10" t="str">
        <x:v>RC1206JR-07100ML 100 Mohm SMD resistor</x:v>
      </x:c>
      <x:c r="D18" s="10" t="n">
        <x:v>5</x:v>
      </x:c>
      <x:c r="E18" s="10" t="str">
        <x:v>DigiKey</x:v>
      </x:c>
      <x:c r="F18" s="11" t="n">
        <x:v>2.4</x:v>
      </x:c>
      <x:c r="G18" s="11" t="n">
        <x:v>12</x:v>
      </x:c>
      <x:c r="H18" s="10" t="str">
        <x:v>https://www.digikey.com/en/products/detail/yageo/RC1206JR-07100ML/5919157</x:v>
      </x:c>
      <x:c r="I18" s="17" t="str">
        <x:v>Provides the preamplifier feedback resistance and spares</x:v>
      </x:c>
    </x:row>
    <x:row r="19" ht="24" hidden="0" customHeight="1">
      <x:c r="A19" s="16" t="n">
        <x:v>15</x:v>
      </x:c>
      <x:c r="B19" s="10" t="str">
        <x:v>Tunneling amplifier</x:v>
      </x:c>
      <x:c r="C19" s="10" t="str">
        <x:v>BMI-S-201-F shielding can</x:v>
      </x:c>
      <x:c r="D19" s="10" t="n">
        <x:v>1</x:v>
      </x:c>
      <x:c r="E19" s="10" t="str">
        <x:v>DigiKey</x:v>
      </x:c>
      <x:c r="F19" s="11" t="n">
        <x:v>6</x:v>
      </x:c>
      <x:c r="G19" s="11" t="n">
        <x:v>6</x:v>
      </x:c>
      <x:c r="H19" s="10" t="str">
        <x:v>https://www.digikey.com/en/products/detail/laird-technologies-emi/BMI-S-201-F/2182404</x:v>
      </x:c>
      <x:c r="I19" s="17" t="str">
        <x:v>Shields the sensitive preamplifier</x:v>
      </x:c>
    </x:row>
    <x:row r="20" ht="24" hidden="0" customHeight="1">
      <x:c r="A20" s="16" t="n">
        <x:v>16</x:v>
      </x:c>
      <x:c r="B20" s="10" t="str">
        <x:v>Tunneling amplifier</x:v>
      </x:c>
      <x:c r="C20" s="10" t="str">
        <x:v>Preamp capacitor set: 47nF / 1uF / 4.7uF 35V</x:v>
      </x:c>
      <x:c r="D20" s="10" t="n">
        <x:v>1</x:v>
      </x:c>
      <x:c r="E20" s="10" t="str">
        <x:v>Mouser</x:v>
      </x:c>
      <x:c r="F20" s="11" t="n">
        <x:v>15</x:v>
      </x:c>
      <x:c r="G20" s="11" t="n">
        <x:v>15</x:v>
      </x:c>
      <x:c r="H20" s="10" t="str">
        <x:v>https://www.mouser.com/ProductDetail/AVX/TAJ475K035RNJ</x:v>
      </x:c>
      <x:c r="I20" s="17" t="str">
        <x:v>Provides preamplifier decoupling; 4.7uF capacitors must be polarized and 35V rated</x:v>
      </x:c>
    </x:row>
    <x:row r="21" ht="15" hidden="0" customHeight="1">
      <x:c r="A21" s="16" t="n">
        <x:v>17</x:v>
      </x:c>
      <x:c r="B21" s="10" t="str">
        <x:v>PCB</x:v>
      </x:c>
      <x:c r="C21" s="10" t="str">
        <x:v>Controller board (Adapterboard-PTH)</x:v>
      </x:c>
      <x:c r="D21" s="10" t="n">
        <x:v>1</x:v>
      </x:c>
      <x:c r="E21" s="10" t="str">
        <x:v>JLCPCB</x:v>
      </x:c>
      <x:c r="F21" s="11" t="n">
        <x:v>25</x:v>
      </x:c>
      <x:c r="G21" s="11" t="n">
        <x:v>25</x:v>
      </x:c>
      <x:c r="H21" s="10" t="str">
        <x:v>https://jlcpcb.com/</x:v>
      </x:c>
      <x:c r="I21" s="17" t="str">
        <x:v>Fabricate using PCB/Adapterboard-PTH.zip</x:v>
      </x:c>
    </x:row>
    <x:row r="22" ht="15" hidden="0" customHeight="1">
      <x:c r="A22" s="16" t="n">
        <x:v>18</x:v>
      </x:c>
      <x:c r="B22" s="10" t="str">
        <x:v>PCB</x:v>
      </x:c>
      <x:c r="C22" s="10" t="str">
        <x:v>Tunneling-amplifier board</x:v>
      </x:c>
      <x:c r="D22" s="10" t="n">
        <x:v>1</x:v>
      </x:c>
      <x:c r="E22" s="10" t="str">
        <x:v>JLCPCB</x:v>
      </x:c>
      <x:c r="F22" s="11" t="n">
        <x:v>20</x:v>
      </x:c>
      <x:c r="G22" s="11" t="n">
        <x:v>20</x:v>
      </x:c>
      <x:c r="H22" s="10" t="str">
        <x:v>https://jlcpcb.com/</x:v>
      </x:c>
      <x:c r="I22" s="17" t="str">
        <x:v>Fabricate using PCB/Tunnelling-Amp.zip</x:v>
      </x:c>
    </x:row>
    <x:row r="23" ht="36" hidden="0" customHeight="1">
      <x:c r="A23" s="16" t="n">
        <x:v>19</x:v>
      </x:c>
      <x:c r="B23" s="10" t="str">
        <x:v>Mechanics</x:v>
      </x:c>
      <x:c r="C23" s="10" t="str">
        <x:v>Thorlabs KC1T/M kinematic mount</x:v>
      </x:c>
      <x:c r="D23" s="10" t="n">
        <x:v>2</x:v>
      </x:c>
      <x:c r="E23" s="10" t="str">
        <x:v>Thorlabs</x:v>
      </x:c>
      <x:c r="F23" s="11" t="n">
        <x:v>116.13</x:v>
      </x:c>
      <x:c r="G23" s="11" t="n">
        <x:v>232.26</x:v>
      </x:c>
      <x:c r="H23" s="10" t="str">
        <x:v>https://www.thorlabs.com/thorproduct.cfm?partnumber=KC1T%2FM</x:v>
      </x:c>
      <x:c r="I23" s="17" t="str">
        <x:v>Two mounts support the revised scan-head design and fine adjustment; price converts the linked EUR listing to USD</x:v>
      </x:c>
    </x:row>
    <x:row r="24" ht="15" hidden="0" customHeight="1">
      <x:c r="A24" s="16" t="n">
        <x:v>20</x:v>
      </x:c>
      <x:c r="B24" s="10" t="str">
        <x:v>Mechanics</x:v>
      </x:c>
      <x:c r="C24" s="10" t="str">
        <x:v>Thorlabs ER2-P4 cage rods 2 in 4-pack</x:v>
      </x:c>
      <x:c r="D24" s="10" t="n">
        <x:v>1</x:v>
      </x:c>
      <x:c r="E24" s="10" t="str">
        <x:v>Thorlabs</x:v>
      </x:c>
      <x:c r="F24" s="11" t="n">
        <x:v>26.82</x:v>
      </x:c>
      <x:c r="G24" s="11" t="n">
        <x:v>26.82</x:v>
      </x:c>
      <x:c r="H24" s="10" t="str">
        <x:v>https://www.thorlabs.com/thorproduct.cfm?partnumber=ER2-P4</x:v>
      </x:c>
      <x:c r="I24" s="17" t="str">
        <x:v>Builds the cage frame</x:v>
      </x:c>
    </x:row>
    <x:row r="25" ht="15" hidden="0" customHeight="1">
      <x:c r="A25" s="16" t="n">
        <x:v>21</x:v>
      </x:c>
      <x:c r="B25" s="10" t="str">
        <x:v>Mechanics</x:v>
      </x:c>
      <x:c r="C25" s="10" t="str">
        <x:v>Thorlabs SP05/M cage adapter plate</x:v>
      </x:c>
      <x:c r="D25" s="10" t="n">
        <x:v>1</x:v>
      </x:c>
      <x:c r="E25" s="10" t="str">
        <x:v>Thorlabs</x:v>
      </x:c>
      <x:c r="F25" s="11" t="n">
        <x:v>31</x:v>
      </x:c>
      <x:c r="G25" s="11" t="n">
        <x:v>31</x:v>
      </x:c>
      <x:c r="H25" s="10" t="str">
        <x:v>https://www.thorlabs.com/thorproduct.cfm?partnumber=SP05%2FM</x:v>
      </x:c>
      <x:c r="I25" s="17" t="str">
        <x:v>Connects the cage-frame sections</x:v>
      </x:c>
    </x:row>
    <x:row r="26" ht="24" hidden="0" customHeight="1">
      <x:c r="A26" s="16" t="n">
        <x:v>22</x:v>
      </x:c>
      <x:c r="B26" s="10" t="str">
        <x:v>Scanner head</x:v>
      </x:c>
      <x:c r="C26" s="10" t="str">
        <x:v>20 mm piezo disks</x:v>
      </x:c>
      <x:c r="D26" s="10" t="n">
        <x:v>1</x:v>
      </x:c>
      <x:c r="E26" s="10" t="str">
        <x:v>Shokitech</x:v>
      </x:c>
      <x:c r="F26" s="11" t="n">
        <x:v>12</x:v>
      </x:c>
      <x:c r="G26" s="11" t="n">
        <x:v>12</x:v>
      </x:c>
      <x:c r="H26" s="10" t="str">
        <x:v>https://shokitech.com/product/20mm-piezo-buzzer-electronic-alarm-sounder/</x:v>
      </x:c>
      <x:c r="I26" s="17" t="str">
        <x:v>Provides material for the quadrant scanner</x:v>
      </x:c>
    </x:row>
    <x:row r="27" ht="15" hidden="0" customHeight="1">
      <x:c r="A27" s="16" t="n">
        <x:v>23</x:v>
      </x:c>
      <x:c r="B27" s="10" t="str">
        <x:v>Scanner head</x:v>
      </x:c>
      <x:c r="C27" s="10" t="str">
        <x:v>Gold-plated 2.54 mm pins</x:v>
      </x:c>
      <x:c r="D27" s="10" t="n">
        <x:v>1</x:v>
      </x:c>
      <x:c r="E27" s="10" t="str">
        <x:v>Denentech</x:v>
      </x:c>
      <x:c r="F27" s="11" t="n">
        <x:v>10</x:v>
      </x:c>
      <x:c r="G27" s="11" t="n">
        <x:v>10</x:v>
      </x:c>
      <x:c r="H27" s="10" t="str">
        <x:v>https://www.denentech.com/product/detail/cd3f638427.html</x:v>
      </x:c>
      <x:c r="I27" s="17" t="str">
        <x:v>Connects the piezo quadrants</x:v>
      </x:c>
    </x:row>
    <x:row r="28" ht="24" hidden="0" customHeight="1">
      <x:c r="A28" s="16" t="n">
        <x:v>24</x:v>
      </x:c>
      <x:c r="B28" s="10" t="str">
        <x:v>Scanner head</x:v>
      </x:c>
      <x:c r="C28" s="10" t="str">
        <x:v>MG Chemicals silver conductive pen</x:v>
      </x:c>
      <x:c r="D28" s="10" t="n">
        <x:v>1</x:v>
      </x:c>
      <x:c r="E28" s="10" t="str">
        <x:v>Micro Center</x:v>
      </x:c>
      <x:c r="F28" s="11" t="n">
        <x:v>17.59</x:v>
      </x:c>
      <x:c r="G28" s="11" t="n">
        <x:v>17.59</x:v>
      </x:c>
      <x:c r="H28" s="10" t="str">
        <x:v>https://www.microcenter.com/product/679436/mg-chemicals-silver-conductive-pen</x:v>
      </x:c>
      <x:c r="I28" s="17" t="str">
        <x:v>Restores the conductive connection between each pin and piezo quadrant</x:v>
      </x:c>
    </x:row>
    <x:row r="29" ht="24" hidden="0" customHeight="1">
      <x:c r="A29" s="16" t="n">
        <x:v>25</x:v>
      </x:c>
      <x:c r="B29" s="10" t="str">
        <x:v>Scanner head</x:v>
      </x:c>
      <x:c r="C29" s="10" t="str">
        <x:v>0.25 mm 999 silver wire</x:v>
      </x:c>
      <x:c r="D29" s="10" t="n">
        <x:v>1</x:v>
      </x:c>
      <x:c r="E29" s="10" t="str">
        <x:v>Rashbel</x:v>
      </x:c>
      <x:c r="F29" s="11" t="n">
        <x:v>15</x:v>
      </x:c>
      <x:c r="G29" s="11" t="n">
        <x:v>15</x:v>
      </x:c>
      <x:c r="H29" s="10" t="str">
        <x:v>https://rashbel.com/products/round-pure-fine-999-silver-wire-soft-prd-1602</x:v>
      </x:c>
      <x:c r="I29" s="17" t="str">
        <x:v>Provides stock for the STM tip</x:v>
      </x:c>
    </x:row>
    <x:row r="30" ht="24" hidden="0" customHeight="1">
      <x:c r="A30" s="16" t="n">
        <x:v>26</x:v>
      </x:c>
      <x:c r="B30" s="10" t="str">
        <x:v>Scanner head</x:v>
      </x:c>
      <x:c r="C30" s="10" t="str">
        <x:v>0.1 mm enamelled copper wire</x:v>
      </x:c>
      <x:c r="D30" s="10" t="n">
        <x:v>1</x:v>
      </x:c>
      <x:c r="E30" s="10" t="str">
        <x:v>Reichelt</x:v>
      </x:c>
      <x:c r="F30" s="11" t="n">
        <x:v>8</x:v>
      </x:c>
      <x:c r="G30" s="11" t="n">
        <x:v>8</x:v>
      </x:c>
      <x:c r="H30" s="10" t="str">
        <x:v>https://www.reichelt.com/de/en/shop/product/enamelled_copper_wire_diameter_0_1_mm_length_140_m-9613</x:v>
      </x:c>
      <x:c r="I30" s="17" t="str">
        <x:v>Makes flexible leads to the piezo quadrants</x:v>
      </x:c>
    </x:row>
    <x:row r="31" ht="15" hidden="0" customHeight="1">
      <x:c r="A31" s="16" t="n">
        <x:v>27</x:v>
      </x:c>
      <x:c r="B31" s="10" t="str">
        <x:v>Power</x:v>
      </x:c>
      <x:c r="C31" s="10" t="str">
        <x:v>10x AA battery holder</x:v>
      </x:c>
      <x:c r="D31" s="10" t="n">
        <x:v>2</x:v>
      </x:c>
      <x:c r="E31" s="10" t="str">
        <x:v>The Pi Hut</x:v>
      </x:c>
      <x:c r="F31" s="11" t="n">
        <x:v>5</x:v>
      </x:c>
      <x:c r="G31" s="11" t="n">
        <x:v>10</x:v>
      </x:c>
      <x:c r="H31" s="10" t="str">
        <x:v>https://thepihut.com/products/10aa-holder</x:v>
      </x:c>
      <x:c r="I31" s="17" t="str">
        <x:v>Provides the positive and negative 15V supplies</x:v>
      </x:c>
    </x:row>
    <x:row r="32" ht="15" hidden="0" customHeight="1">
      <x:c r="A32" s="16" t="n">
        <x:v>28</x:v>
      </x:c>
      <x:c r="B32" s="10" t="str">
        <x:v>Power</x:v>
      </x:c>
      <x:c r="C32" s="10" t="str">
        <x:v>1x AA battery holder</x:v>
      </x:c>
      <x:c r="D32" s="10" t="n">
        <x:v>1</x:v>
      </x:c>
      <x:c r="E32" s="10" t="str">
        <x:v>SparkFun</x:v>
      </x:c>
      <x:c r="F32" s="11" t="n">
        <x:v>4</x:v>
      </x:c>
      <x:c r="G32" s="11" t="n">
        <x:v>4</x:v>
      </x:c>
      <x:c r="H32" s="10" t="str">
        <x:v>https://www.sparkfun.com/battery-holder-1xaa-pth.html</x:v>
      </x:c>
      <x:c r="I32" s="17" t="str">
        <x:v>Provides sample bias</x:v>
      </x:c>
    </x:row>
    <x:row r="33" ht="24" hidden="0" customHeight="1">
      <x:c r="A33" s="16" t="n">
        <x:v>29</x:v>
      </x:c>
      <x:c r="B33" s="10" t="str">
        <x:v>Power</x:v>
      </x:c>
      <x:c r="C33" s="10" t="str">
        <x:v>AA battery pack (24)</x:v>
      </x:c>
      <x:c r="D33" s="10" t="n">
        <x:v>1</x:v>
      </x:c>
      <x:c r="E33" s="10" t="str">
        <x:v>Harbor Freight</x:v>
      </x:c>
      <x:c r="F33" s="11" t="n">
        <x:v>7.99</x:v>
      </x:c>
      <x:c r="G33" s="11" t="n">
        <x:v>7.99</x:v>
      </x:c>
      <x:c r="H33" s="10" t="str">
        <x:v>https://www.harborfreight.com/promotions/thunderbolt-batteries/aa-alkaline-batteries-24-pack-61271.html</x:v>
      </x:c>
      <x:c r="I33" s="17" t="str">
        <x:v>Provides 21 batteries plus spares</x:v>
      </x:c>
    </x:row>
    <x:row r="34" ht="24" hidden="0" customHeight="1">
      <x:c r="A34" s="16" t="n">
        <x:v>30</x:v>
      </x:c>
      <x:c r="B34" s="10" t="str">
        <x:v>Noise control</x:v>
      </x:c>
      <x:c r="C34" s="10" t="str">
        <x:v>Copper foil tape with conductive adhesive</x:v>
      </x:c>
      <x:c r="D34" s="10" t="n">
        <x:v>4</x:v>
      </x:c>
      <x:c r="E34" s="10" t="str">
        <x:v>Adafruit</x:v>
      </x:c>
      <x:c r="F34" s="11" t="n">
        <x:v>5.95</x:v>
      </x:c>
      <x:c r="G34" s="11" t="n">
        <x:v>23.8</x:v>
      </x:c>
      <x:c r="H34" s="10" t="str">
        <x:v>https://www.adafruit.com/product/1128</x:v>
      </x:c>
      <x:c r="I34" s="17" t="str">
        <x:v>Provides grounding and shielding around the preamplifier and scan head</x:v>
      </x:c>
    </x:row>
    <x:row r="35" ht="24" hidden="0" customHeight="1">
      <x:c r="A35" s="16" t="n">
        <x:v>31</x:v>
      </x:c>
      <x:c r="B35" s="10" t="str">
        <x:v>Reference sample</x:v>
      </x:c>
      <x:c r="C35" s="10" t="str">
        <x:v>HOPG graphite calibration sample</x:v>
      </x:c>
      <x:c r="D35" s="10" t="n">
        <x:v>1</x:v>
      </x:c>
      <x:c r="E35" s="10" t="str">
        <x:v>Bruker</x:v>
      </x:c>
      <x:c r="F35" s="11" t="n">
        <x:v>250</x:v>
      </x:c>
      <x:c r="G35" s="11" t="n">
        <x:v>250</x:v>
      </x:c>
      <x:c r="H35" s="10" t="str">
        <x:v>https://store.bruker.com/products/hopg</x:v>
      </x:c>
      <x:c r="I35" s="17" t="str">
        <x:v>Provides a known conductive surface for checking the STM before testing other samples</x:v>
      </x:c>
    </x:row>
    <x:row r="36" ht="15" hidden="0" customHeight="1">
      <x:c r="A36" s="16" t="n">
        <x:v>32</x:v>
      </x:c>
      <x:c r="B36" s="10" t="str">
        <x:v>Tools</x:v>
      </x:c>
      <x:c r="C36" s="10" t="str">
        <x:v>Adafruit electronics toolkit</x:v>
      </x:c>
      <x:c r="D36" s="10" t="n">
        <x:v>1</x:v>
      </x:c>
      <x:c r="E36" s="10" t="str">
        <x:v>Adafruit</x:v>
      </x:c>
      <x:c r="F36" s="11" t="n">
        <x:v>100</x:v>
      </x:c>
      <x:c r="G36" s="11" t="n">
        <x:v>100</x:v>
      </x:c>
      <x:c r="H36" s="10" t="str">
        <x:v>https://www.adafruit.com/product/136</x:v>
      </x:c>
      <x:c r="I36" s="17" t="str">
        <x:v>Soldering and basic assembly</x:v>
      </x:c>
    </x:row>
    <x:row r="37" ht="15" hidden="0" customHeight="1">
      <x:c r="A37" s="18" t="n">
        <x:v>33</x:v>
      </x:c>
      <x:c r="B37" s="19" t="str">
        <x:v>Tools</x:v>
      </x:c>
      <x:c r="C37" s="19" t="str">
        <x:v>USB microscope with stand</x:v>
      </x:c>
      <x:c r="D37" s="19" t="n">
        <x:v>1</x:v>
      </x:c>
      <x:c r="E37" s="19" t="str">
        <x:v>Adafruit</x:v>
      </x:c>
      <x:c r="F37" s="20" t="n">
        <x:v>79.95</x:v>
      </x:c>
      <x:c r="G37" s="20" t="n">
        <x:v>79.95</x:v>
      </x:c>
      <x:c r="H37" s="19" t="str">
        <x:v>https://www.adafruit.com/product/636</x:v>
      </x:c>
      <x:c r="I37" s="21" t="str">
        <x:v>Inspecting solder joints and tip prep</x:v>
      </x:c>
    </x:row>
    <x:row r="38" ht="15" hidden="0" customHeight="1">
      <x:c r="F38" s="12"/>
      <x:c r="G38" s="12"/>
    </x:row>
    <x:row r="39" ht="15" hidden="0" customHeight="1">
      <x:c r="A39" s="28" t="str">
        <x:v>Project total</x:v>
      </x:c>
      <x:c r="B39" s="29"/>
      <x:c r="C39" s="29"/>
      <x:c r="D39" s="29"/>
      <x:c r="E39" s="29"/>
      <x:c r="F39" s="30"/>
      <x:c r="G39" s="30" t="n">
        <x:f>SUM(G5:G37)</x:f>
        <x:v>1067.83</x:v>
      </x:c>
      <x:c r="H39" s="29" t="str">
        <x:v>All items above</x:v>
      </x:c>
      <x:c r="I39" s="31"/>
    </x:row>
    <x:row r="40" ht="15" hidden="0" customHeight="1">
      <x:c r="A40" s="32" t="str">
        <x:v>Stardance request</x:v>
      </x:c>
      <x:c r="B40" s="26"/>
      <x:c r="C40" s="26"/>
      <x:c r="D40" s="26"/>
      <x:c r="E40" s="26"/>
      <x:c r="F40" s="27"/>
      <x:c r="G40" s="27" t="n">
        <x:v>600</x:v>
      </x:c>
      <x:c r="H40" s="26" t="str">
        <x:v>Amount requested</x:v>
      </x:c>
      <x:c r="I40" s="33"/>
    </x:row>
    <x:row r="41" ht="15" hidden="0" customHeight="1">
      <x:c r="A41" s="34" t="str">
        <x:v>I will pay</x:v>
      </x:c>
      <x:c r="B41" s="35"/>
      <x:c r="C41" s="35"/>
      <x:c r="D41" s="35"/>
      <x:c r="E41" s="35"/>
      <x:c r="F41" s="36"/>
      <x:c r="G41" s="36" t="n">
        <x:f>G39-G40</x:f>
        <x:v>467.8299999999999</x:v>
      </x:c>
      <x:c r="H41" s="35" t="str">
        <x:v>The rest of the project cost</x:v>
      </x:c>
      <x:c r="I41" s="37"/>
    </x:row>
  </x:sheetData>
  <x:pageMargins left="0.7" right="0.7" top="0.75" bottom="0.75" header="0.3" footer="0.3"/>
</x:worksheet>
</file>